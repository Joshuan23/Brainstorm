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Pricing" sheetId="1" state="visible" r:id="rId1"/>
    <sheet name="Client Profitability" sheetId="2" state="visible" r:id="rId2"/>
    <sheet name="Read me - 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1F2937"/>
      <sz val="11"/>
    </font>
    <font>
      <b val="1"/>
      <sz val="10"/>
    </font>
    <font>
      <color rgb="00374151"/>
      <sz val="10"/>
    </font>
    <font>
      <b val="1"/>
    </font>
    <font>
      <b val="1"/>
      <color rgb="002563EB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right"/>
    </xf>
    <xf numFmtId="164" fontId="7" fillId="5" borderId="1" pivotButton="0" quotePrefix="0" xfId="0"/>
    <xf numFmtId="0" fontId="7" fillId="5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14" customWidth="1" min="4" max="4"/>
    <col width="16" customWidth="1" min="5" max="5"/>
    <col width="14" customWidth="1" min="6" max="6"/>
    <col width="14" customWidth="1" min="7" max="7"/>
    <col width="13" customWidth="1" min="8" max="8"/>
    <col width="13" customWidth="1" min="9" max="9"/>
    <col width="20" customWidth="1" min="10" max="10"/>
    <col width="15" customWidth="1" min="11" max="11"/>
    <col width="13" customWidth="1" min="12" max="12"/>
    <col width="20" customWidth="1" min="13" max="13"/>
  </cols>
  <sheetData>
    <row r="1" ht="28" customHeight="1">
      <c r="A1" s="1" t="inlineStr">
        <is>
          <t>Bookkeeper Pricing &amp; Package Calculator</t>
        </is>
      </c>
    </row>
    <row r="2" ht="30" customHeight="1">
      <c r="A2" s="2" t="inlineStr">
        <is>
          <t>Yellow cells = your inputs. Blue cells = live formulas — leave them alone and they recalculate automatically. Add new tiers by copying row 8 (formulas included).</t>
        </is>
      </c>
    </row>
    <row r="4" ht="34" customHeight="1">
      <c r="A4" s="3" t="inlineStr">
        <is>
          <t>Package Tier</t>
        </is>
      </c>
      <c r="B4" s="3" t="inlineStr">
        <is>
          <t>Clients on This Tier</t>
        </is>
      </c>
      <c r="C4" s="3" t="inlineStr">
        <is>
          <t>Monthly Hours / Client</t>
        </is>
      </c>
      <c r="D4" s="3" t="inlineStr">
        <is>
          <t>Target Hourly Rate ($)</t>
        </is>
      </c>
      <c r="E4" s="3" t="inlineStr">
        <is>
          <t>Total Monthly Overhead ($)</t>
        </is>
      </c>
      <c r="F4" s="3" t="inlineStr">
        <is>
          <t>Target Profit Margin (%)</t>
        </is>
      </c>
      <c r="G4" s="3" t="inlineStr">
        <is>
          <t>Labor Cost / Client ($)</t>
        </is>
      </c>
      <c r="H4" s="3" t="inlineStr">
        <is>
          <t>Overhead / Client ($)</t>
        </is>
      </c>
      <c r="I4" s="3" t="inlineStr">
        <is>
          <t>Base Cost / Client ($)</t>
        </is>
      </c>
      <c r="J4" s="3" t="inlineStr">
        <is>
          <t>Recommended Monthly Package Price ($)</t>
        </is>
      </c>
      <c r="K4" s="3" t="inlineStr">
        <is>
          <t>Effective Hourly Rate ($)</t>
        </is>
      </c>
      <c r="L4" s="3" t="inlineStr">
        <is>
          <t>Profit / Client ($)</t>
        </is>
      </c>
      <c r="M4" s="3" t="inlineStr">
        <is>
          <t>Total Monthly Profit — This Tier ($)</t>
        </is>
      </c>
    </row>
    <row r="5" ht="24" customHeight="1">
      <c r="A5" s="4" t="inlineStr">
        <is>
          <t>Starter (up to 50 tx/mo, monthly bookkeeping)</t>
        </is>
      </c>
      <c r="B5" s="5" t="n">
        <v>8</v>
      </c>
      <c r="C5" s="5" t="n">
        <v>3</v>
      </c>
      <c r="D5" s="6" t="n">
        <v>50</v>
      </c>
      <c r="E5" s="6" t="n">
        <v>400</v>
      </c>
      <c r="F5" s="7" t="n">
        <v>0.3</v>
      </c>
      <c r="G5" s="8">
        <f>C5*D5</f>
        <v/>
      </c>
      <c r="H5" s="8">
        <f>IF(B5=0,0,E5/B5)</f>
        <v/>
      </c>
      <c r="I5" s="8">
        <f>G5+H5</f>
        <v/>
      </c>
      <c r="J5" s="8">
        <f>IF(F5&gt;=1,"margin must be &lt;100%",I5/(1-F5))</f>
        <v/>
      </c>
      <c r="K5" s="8">
        <f>IF(OR(C5=0,F5&gt;=1),0,I5/(1-F5)/C5)</f>
        <v/>
      </c>
      <c r="L5" s="8">
        <f>IF(F5&gt;=1,0,I5/(1-F5)-I5)</f>
        <v/>
      </c>
      <c r="M5" s="8">
        <f>L5*B5</f>
        <v/>
      </c>
    </row>
    <row r="6" ht="24" customHeight="1">
      <c r="A6" s="4" t="inlineStr">
        <is>
          <t>Growth (up to 150 tx/mo, monthly bookkeeping + reconciliations)</t>
        </is>
      </c>
      <c r="B6" s="5" t="n">
        <v>5</v>
      </c>
      <c r="C6" s="5" t="n">
        <v>6</v>
      </c>
      <c r="D6" s="6" t="n">
        <v>55</v>
      </c>
      <c r="E6" s="6" t="n">
        <v>400</v>
      </c>
      <c r="F6" s="7" t="n">
        <v>0.32</v>
      </c>
      <c r="G6" s="8">
        <f>C6*D6</f>
        <v/>
      </c>
      <c r="H6" s="8">
        <f>IF(B6=0,0,E6/B6)</f>
        <v/>
      </c>
      <c r="I6" s="8">
        <f>G6+H6</f>
        <v/>
      </c>
      <c r="J6" s="8">
        <f>IF(F6&gt;=1,"margin must be &lt;100%",I6/(1-F6))</f>
        <v/>
      </c>
      <c r="K6" s="8">
        <f>IF(OR(C6=0,F6&gt;=1),0,I6/(1-F6)/C6)</f>
        <v/>
      </c>
      <c r="L6" s="8">
        <f>IF(F6&gt;=1,0,I6/(1-F6)-I6)</f>
        <v/>
      </c>
      <c r="M6" s="8">
        <f>L6*B6</f>
        <v/>
      </c>
    </row>
    <row r="7" ht="24" customHeight="1">
      <c r="A7" s="4" t="inlineStr">
        <is>
          <t>Pro (payroll + catch-up cleanup add-ons)</t>
        </is>
      </c>
      <c r="B7" s="5" t="n">
        <v>3</v>
      </c>
      <c r="C7" s="5" t="n">
        <v>10</v>
      </c>
      <c r="D7" s="6" t="n">
        <v>60</v>
      </c>
      <c r="E7" s="6" t="n">
        <v>400</v>
      </c>
      <c r="F7" s="7" t="n">
        <v>0.35</v>
      </c>
      <c r="G7" s="8">
        <f>C7*D7</f>
        <v/>
      </c>
      <c r="H7" s="8">
        <f>IF(B7=0,0,E7/B7)</f>
        <v/>
      </c>
      <c r="I7" s="8">
        <f>G7+H7</f>
        <v/>
      </c>
      <c r="J7" s="8">
        <f>IF(F7&gt;=1,"margin must be &lt;100%",I7/(1-F7))</f>
        <v/>
      </c>
      <c r="K7" s="8">
        <f>IF(OR(C7=0,F7&gt;=1),0,I7/(1-F7)/C7)</f>
        <v/>
      </c>
      <c r="L7" s="8">
        <f>IF(F7&gt;=1,0,I7/(1-F7)-I7)</f>
        <v/>
      </c>
      <c r="M7" s="8">
        <f>L7*B7</f>
        <v/>
      </c>
    </row>
    <row r="8" ht="24" customHeight="1">
      <c r="A8" s="4" t="n"/>
      <c r="B8" s="5" t="n"/>
      <c r="C8" s="5" t="n"/>
      <c r="D8" s="6" t="n"/>
      <c r="E8" s="6" t="n"/>
      <c r="F8" s="7" t="n"/>
      <c r="G8" s="8">
        <f>C8*D8</f>
        <v/>
      </c>
      <c r="H8" s="8">
        <f>IF(B8=0,0,E8/B8)</f>
        <v/>
      </c>
      <c r="I8" s="8">
        <f>G8+H8</f>
        <v/>
      </c>
      <c r="J8" s="8">
        <f>IF(F8&gt;=1,"margin must be &lt;100%",I8/(1-F8))</f>
        <v/>
      </c>
      <c r="K8" s="8">
        <f>IF(OR(C8=0,F8&gt;=1),0,I8/(1-F8)/C8)</f>
        <v/>
      </c>
      <c r="L8" s="8">
        <f>IF(F8&gt;=1,0,I8/(1-F8)-I8)</f>
        <v/>
      </c>
      <c r="M8" s="8">
        <f>L8*B8</f>
        <v/>
      </c>
    </row>
    <row r="9" ht="24" customHeight="1">
      <c r="A9" s="4" t="n"/>
      <c r="B9" s="5" t="n"/>
      <c r="C9" s="5" t="n"/>
      <c r="D9" s="6" t="n"/>
      <c r="E9" s="6" t="n"/>
      <c r="F9" s="7" t="n"/>
      <c r="G9" s="8">
        <f>C9*D9</f>
        <v/>
      </c>
      <c r="H9" s="8">
        <f>IF(B9=0,0,E9/B9)</f>
        <v/>
      </c>
      <c r="I9" s="8">
        <f>G9+H9</f>
        <v/>
      </c>
      <c r="J9" s="8">
        <f>IF(F9&gt;=1,"margin must be &lt;100%",I9/(1-F9))</f>
        <v/>
      </c>
      <c r="K9" s="8">
        <f>IF(OR(C9=0,F9&gt;=1),0,I9/(1-F9)/C9)</f>
        <v/>
      </c>
      <c r="L9" s="8">
        <f>IF(F9&gt;=1,0,I9/(1-F9)-I9)</f>
        <v/>
      </c>
      <c r="M9" s="8">
        <f>L9*B9</f>
        <v/>
      </c>
    </row>
    <row r="10" ht="24" customHeight="1">
      <c r="A10" s="4" t="n"/>
      <c r="B10" s="5" t="n"/>
      <c r="C10" s="5" t="n"/>
      <c r="D10" s="6" t="n"/>
      <c r="E10" s="6" t="n"/>
      <c r="F10" s="7" t="n"/>
      <c r="G10" s="8">
        <f>C10*D10</f>
        <v/>
      </c>
      <c r="H10" s="8">
        <f>IF(B10=0,0,E10/B10)</f>
        <v/>
      </c>
      <c r="I10" s="8">
        <f>G10+H10</f>
        <v/>
      </c>
      <c r="J10" s="8">
        <f>IF(F10&gt;=1,"margin must be &lt;100%",I10/(1-F10))</f>
        <v/>
      </c>
      <c r="K10" s="8">
        <f>IF(OR(C10=0,F10&gt;=1),0,I10/(1-F10)/C10)</f>
        <v/>
      </c>
      <c r="L10" s="8">
        <f>IF(F10&gt;=1,0,I10/(1-F10)-I10)</f>
        <v/>
      </c>
      <c r="M10" s="8">
        <f>L10*B10</f>
        <v/>
      </c>
    </row>
    <row r="11" ht="24" customHeight="1">
      <c r="A11" s="4" t="n"/>
      <c r="B11" s="5" t="n"/>
      <c r="C11" s="5" t="n"/>
      <c r="D11" s="6" t="n"/>
      <c r="E11" s="6" t="n"/>
      <c r="F11" s="7" t="n"/>
      <c r="G11" s="8">
        <f>C11*D11</f>
        <v/>
      </c>
      <c r="H11" s="8">
        <f>IF(B11=0,0,E11/B11)</f>
        <v/>
      </c>
      <c r="I11" s="8">
        <f>G11+H11</f>
        <v/>
      </c>
      <c r="J11" s="8">
        <f>IF(F11&gt;=1,"margin must be &lt;100%",I11/(1-F11))</f>
        <v/>
      </c>
      <c r="K11" s="8">
        <f>IF(OR(C11=0,F11&gt;=1),0,I11/(1-F11)/C11)</f>
        <v/>
      </c>
      <c r="L11" s="8">
        <f>IF(F11&gt;=1,0,I11/(1-F11)-I11)</f>
        <v/>
      </c>
      <c r="M11" s="8">
        <f>L11*B11</f>
        <v/>
      </c>
    </row>
    <row r="12" ht="24" customHeight="1">
      <c r="A12" s="4" t="n"/>
      <c r="B12" s="5" t="n"/>
      <c r="C12" s="5" t="n"/>
      <c r="D12" s="6" t="n"/>
      <c r="E12" s="6" t="n"/>
      <c r="F12" s="7" t="n"/>
      <c r="G12" s="8">
        <f>C12*D12</f>
        <v/>
      </c>
      <c r="H12" s="8">
        <f>IF(B12=0,0,E12/B12)</f>
        <v/>
      </c>
      <c r="I12" s="8">
        <f>G12+H12</f>
        <v/>
      </c>
      <c r="J12" s="8">
        <f>IF(F12&gt;=1,"margin must be &lt;100%",I12/(1-F12))</f>
        <v/>
      </c>
      <c r="K12" s="8">
        <f>IF(OR(C12=0,F12&gt;=1),0,I12/(1-F12)/C12)</f>
        <v/>
      </c>
      <c r="L12" s="8">
        <f>IF(F12&gt;=1,0,I12/(1-F12)-I12)</f>
        <v/>
      </c>
      <c r="M12" s="8">
        <f>L12*B12</f>
        <v/>
      </c>
    </row>
    <row r="13" ht="24" customHeight="1">
      <c r="A13" s="4" t="n"/>
      <c r="B13" s="5" t="n"/>
      <c r="C13" s="5" t="n"/>
      <c r="D13" s="6" t="n"/>
      <c r="E13" s="6" t="n"/>
      <c r="F13" s="7" t="n"/>
      <c r="G13" s="8">
        <f>C13*D13</f>
        <v/>
      </c>
      <c r="H13" s="8">
        <f>IF(B13=0,0,E13/B13)</f>
        <v/>
      </c>
      <c r="I13" s="8">
        <f>G13+H13</f>
        <v/>
      </c>
      <c r="J13" s="8">
        <f>IF(F13&gt;=1,"margin must be &lt;100%",I13/(1-F13))</f>
        <v/>
      </c>
      <c r="K13" s="8">
        <f>IF(OR(C13=0,F13&gt;=1),0,I13/(1-F13)/C13)</f>
        <v/>
      </c>
      <c r="L13" s="8">
        <f>IF(F13&gt;=1,0,I13/(1-F13)-I13)</f>
        <v/>
      </c>
      <c r="M13" s="8">
        <f>L13*B13</f>
        <v/>
      </c>
    </row>
    <row r="16">
      <c r="A16" s="9" t="inlineStr">
        <is>
          <t>How the formulas work</t>
        </is>
      </c>
    </row>
    <row r="17">
      <c r="A17" s="10" t="inlineStr">
        <is>
          <t>Labor Cost / Client</t>
        </is>
      </c>
      <c r="B17" s="11">
        <f> Monthly Hours per Client x Target Hourly Rate</f>
        <v/>
      </c>
    </row>
    <row r="18">
      <c r="A18" s="10" t="inlineStr">
        <is>
          <t>Overhead / Client</t>
        </is>
      </c>
      <c r="B18" s="11">
        <f> Total Monthly Overhead (software subscriptions, E&amp;O insurance, etc.) / Clients on This Tier</f>
        <v/>
      </c>
    </row>
    <row r="19">
      <c r="A19" s="10" t="inlineStr">
        <is>
          <t>Base Cost / Client</t>
        </is>
      </c>
      <c r="B19" s="11">
        <f> Labor Cost / Client + Overhead / Client</f>
        <v/>
      </c>
    </row>
    <row r="20">
      <c r="A20" s="10" t="inlineStr">
        <is>
          <t>Recommended Monthly Package Price</t>
        </is>
      </c>
      <c r="B20" s="11">
        <f> Base Cost / Client / (1 - Target Profit Margin %)</f>
        <v/>
      </c>
    </row>
    <row r="21">
      <c r="A21" s="10" t="inlineStr">
        <is>
          <t>Effective Hourly Rate</t>
        </is>
      </c>
      <c r="B21" s="11">
        <f> Recommended Monthly Package Price / Monthly Hours per Client</f>
        <v/>
      </c>
    </row>
    <row r="22">
      <c r="A22" s="10" t="inlineStr">
        <is>
          <t>Profit / Client</t>
        </is>
      </c>
      <c r="B22" s="11">
        <f> Recommended Monthly Package Price - Base Cost / Client</f>
        <v/>
      </c>
    </row>
    <row r="23">
      <c r="A23" s="10" t="inlineStr">
        <is>
          <t>Total Monthly Profit - This Tier</t>
        </is>
      </c>
      <c r="B23" s="11">
        <f> Profit / Client x Clients on This Tier</f>
        <v/>
      </c>
    </row>
  </sheetData>
  <mergeCells count="9">
    <mergeCell ref="B22:H22"/>
    <mergeCell ref="B17:H17"/>
    <mergeCell ref="A1:M1"/>
    <mergeCell ref="B18:H18"/>
    <mergeCell ref="B21:H21"/>
    <mergeCell ref="B20:H20"/>
    <mergeCell ref="B19:H19"/>
    <mergeCell ref="A2:M2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16" customWidth="1" min="4" max="4"/>
    <col width="18" customWidth="1" min="5" max="5"/>
    <col width="16" customWidth="1" min="6" max="6"/>
    <col width="13" customWidth="1" min="7" max="7"/>
    <col width="38" customWidth="1" min="8" max="8"/>
  </cols>
  <sheetData>
    <row r="1" ht="28" customHeight="1">
      <c r="A1" s="1" t="inlineStr">
        <is>
          <t>Client Profitability</t>
        </is>
      </c>
    </row>
    <row r="2" ht="30" customHeight="1">
      <c r="A2" s="2" t="inlineStr">
        <is>
          <t>Yellow cells = your inputs. Effective Hourly Rate is a live formula (Monthly Fee / Actual Monthly Hours). Compare it to Target Hourly Rate to spot underpriced clients before renewal.</t>
        </is>
      </c>
    </row>
    <row r="4" ht="34" customHeight="1">
      <c r="A4" s="3" t="inlineStr">
        <is>
          <t>Client</t>
        </is>
      </c>
      <c r="B4" s="3" t="inlineStr">
        <is>
          <t>Package Tier</t>
        </is>
      </c>
      <c r="C4" s="3" t="inlineStr">
        <is>
          <t>Monthly Fee ($)</t>
        </is>
      </c>
      <c r="D4" s="3" t="inlineStr">
        <is>
          <t>Actual Monthly Hours</t>
        </is>
      </c>
      <c r="E4" s="3" t="inlineStr">
        <is>
          <t>Effective Hourly Rate ($)</t>
        </is>
      </c>
      <c r="F4" s="3" t="inlineStr">
        <is>
          <t>Target Hourly Rate ($)</t>
        </is>
      </c>
      <c r="G4" s="3" t="inlineStr">
        <is>
          <t>On Target?</t>
        </is>
      </c>
      <c r="H4" s="3" t="inlineStr">
        <is>
          <t>Notes / Action</t>
        </is>
      </c>
    </row>
    <row r="5" ht="26" customHeight="1">
      <c r="A5" s="4" t="inlineStr">
        <is>
          <t>Larkspur Landscaping LLC</t>
        </is>
      </c>
      <c r="B5" s="4" t="inlineStr">
        <is>
          <t>Starter</t>
        </is>
      </c>
      <c r="C5" s="6" t="n">
        <v>285.71</v>
      </c>
      <c r="D5" s="5" t="n">
        <v>3.5</v>
      </c>
      <c r="E5" s="8">
        <f>IF(D5=0,0,C5/D5)</f>
        <v/>
      </c>
      <c r="F5" s="6" t="n">
        <v>95.23999999999999</v>
      </c>
      <c r="G5" s="12">
        <f>IF(D5=0,"",IF(E5&gt;=F5,"On target","Review"))</f>
        <v/>
      </c>
      <c r="H5" s="4" t="inlineStr">
        <is>
          <t>Taking longer than planned — review scope or move to Growth</t>
        </is>
      </c>
    </row>
    <row r="6" ht="26" customHeight="1">
      <c r="A6" s="4" t="inlineStr">
        <is>
          <t>Nguyen Family Dental</t>
        </is>
      </c>
      <c r="B6" s="4" t="inlineStr">
        <is>
          <t>Growth</t>
        </is>
      </c>
      <c r="C6" s="6" t="n">
        <v>602.9400000000001</v>
      </c>
      <c r="D6" s="5" t="n">
        <v>5.5</v>
      </c>
      <c r="E6" s="8">
        <f>IF(D6=0,0,C6/D6)</f>
        <v/>
      </c>
      <c r="F6" s="6" t="n">
        <v>100.49</v>
      </c>
      <c r="G6" s="12">
        <f>IF(D6=0,"",IF(E6&gt;=F6,"On target","Review"))</f>
        <v/>
      </c>
      <c r="H6" s="4" t="inlineStr">
        <is>
          <t>Running efficient — good renewal candidate</t>
        </is>
      </c>
    </row>
    <row r="7" ht="26" customHeight="1">
      <c r="A7" s="4" t="inlineStr">
        <is>
          <t>Cedar &amp; Stone Woodworks</t>
        </is>
      </c>
      <c r="B7" s="4" t="inlineStr">
        <is>
          <t>Pro</t>
        </is>
      </c>
      <c r="C7" s="6" t="n">
        <v>1128.21</v>
      </c>
      <c r="D7" s="5" t="n">
        <v>11</v>
      </c>
      <c r="E7" s="8">
        <f>IF(D7=0,0,C7/D7)</f>
        <v/>
      </c>
      <c r="F7" s="6" t="n">
        <v>112.82</v>
      </c>
      <c r="G7" s="12">
        <f>IF(D7=0,"",IF(E7&gt;=F7,"On target","Review"))</f>
        <v/>
      </c>
      <c r="H7" s="4" t="inlineStr">
        <is>
          <t>Slightly under target — confirm payroll add-on is billed separately</t>
        </is>
      </c>
    </row>
    <row r="8" ht="26" customHeight="1">
      <c r="A8" s="4" t="inlineStr"/>
      <c r="B8" s="4" t="inlineStr"/>
      <c r="C8" s="6" t="n">
        <v>0</v>
      </c>
      <c r="D8" s="5" t="n">
        <v>0</v>
      </c>
      <c r="E8" s="8">
        <f>IF(D8=0,0,C8/D8)</f>
        <v/>
      </c>
      <c r="F8" s="6" t="n">
        <v>0</v>
      </c>
      <c r="G8" s="12">
        <f>IF(D8=0,"",IF(E8&gt;=F8,"On target","Review"))</f>
        <v/>
      </c>
      <c r="H8" s="4" t="inlineStr"/>
    </row>
    <row r="9" ht="26" customHeight="1">
      <c r="A9" s="4" t="inlineStr"/>
      <c r="B9" s="4" t="inlineStr"/>
      <c r="C9" s="6" t="n">
        <v>0</v>
      </c>
      <c r="D9" s="5" t="n">
        <v>0</v>
      </c>
      <c r="E9" s="8">
        <f>IF(D9=0,0,C9/D9)</f>
        <v/>
      </c>
      <c r="F9" s="6" t="n">
        <v>0</v>
      </c>
      <c r="G9" s="12">
        <f>IF(D9=0,"",IF(E9&gt;=F9,"On target","Review"))</f>
        <v/>
      </c>
      <c r="H9" s="4" t="inlineStr"/>
    </row>
    <row r="10" ht="26" customHeight="1">
      <c r="A10" s="4" t="inlineStr"/>
      <c r="B10" s="4" t="inlineStr"/>
      <c r="C10" s="6" t="n">
        <v>0</v>
      </c>
      <c r="D10" s="5" t="n">
        <v>0</v>
      </c>
      <c r="E10" s="8">
        <f>IF(D10=0,0,C10/D10)</f>
        <v/>
      </c>
      <c r="F10" s="6" t="n">
        <v>0</v>
      </c>
      <c r="G10" s="12">
        <f>IF(D10=0,"",IF(E10&gt;=F10,"On target","Review"))</f>
        <v/>
      </c>
      <c r="H10" s="4" t="inlineStr"/>
    </row>
    <row r="11" ht="26" customHeight="1">
      <c r="A11" s="4" t="inlineStr"/>
      <c r="B11" s="4" t="inlineStr"/>
      <c r="C11" s="6" t="n">
        <v>0</v>
      </c>
      <c r="D11" s="5" t="n">
        <v>0</v>
      </c>
      <c r="E11" s="8">
        <f>IF(D11=0,0,C11/D11)</f>
        <v/>
      </c>
      <c r="F11" s="6" t="n">
        <v>0</v>
      </c>
      <c r="G11" s="12">
        <f>IF(D11=0,"",IF(E11&gt;=F11,"On target","Review"))</f>
        <v/>
      </c>
      <c r="H11" s="4" t="inlineStr"/>
    </row>
    <row r="12" ht="26" customHeight="1">
      <c r="A12" s="4" t="inlineStr"/>
      <c r="B12" s="4" t="inlineStr"/>
      <c r="C12" s="6" t="n">
        <v>0</v>
      </c>
      <c r="D12" s="5" t="n">
        <v>0</v>
      </c>
      <c r="E12" s="8">
        <f>IF(D12=0,0,C12/D12)</f>
        <v/>
      </c>
      <c r="F12" s="6" t="n">
        <v>0</v>
      </c>
      <c r="G12" s="12">
        <f>IF(D12=0,"",IF(E12&gt;=F12,"On target","Review"))</f>
        <v/>
      </c>
      <c r="H12" s="4" t="inlineStr"/>
    </row>
    <row r="13" ht="26" customHeight="1">
      <c r="A13" s="4" t="inlineStr"/>
      <c r="B13" s="4" t="inlineStr"/>
      <c r="C13" s="6" t="n">
        <v>0</v>
      </c>
      <c r="D13" s="5" t="n">
        <v>0</v>
      </c>
      <c r="E13" s="8">
        <f>IF(D13=0,0,C13/D13)</f>
        <v/>
      </c>
      <c r="F13" s="6" t="n">
        <v>0</v>
      </c>
      <c r="G13" s="12">
        <f>IF(D13=0,"",IF(E13&gt;=F13,"On target","Review"))</f>
        <v/>
      </c>
      <c r="H13" s="4" t="inlineStr"/>
    </row>
    <row r="14" ht="26" customHeight="1">
      <c r="A14" s="4" t="inlineStr"/>
      <c r="B14" s="4" t="inlineStr"/>
      <c r="C14" s="6" t="n">
        <v>0</v>
      </c>
      <c r="D14" s="5" t="n">
        <v>0</v>
      </c>
      <c r="E14" s="8">
        <f>IF(D14=0,0,C14/D14)</f>
        <v/>
      </c>
      <c r="F14" s="6" t="n">
        <v>0</v>
      </c>
      <c r="G14" s="12">
        <f>IF(D14=0,"",IF(E14&gt;=F14,"On target","Review"))</f>
        <v/>
      </c>
      <c r="H14" s="4" t="inlineStr"/>
    </row>
    <row r="15" ht="26" customHeight="1">
      <c r="A15" s="4" t="inlineStr"/>
      <c r="B15" s="4" t="inlineStr"/>
      <c r="C15" s="6" t="n">
        <v>0</v>
      </c>
      <c r="D15" s="5" t="n">
        <v>0</v>
      </c>
      <c r="E15" s="8">
        <f>IF(D15=0,0,C15/D15)</f>
        <v/>
      </c>
      <c r="F15" s="6" t="n">
        <v>0</v>
      </c>
      <c r="G15" s="12">
        <f>IF(D15=0,"",IF(E15&gt;=F15,"On target","Review"))</f>
        <v/>
      </c>
      <c r="H15" s="4" t="inlineStr"/>
    </row>
    <row r="16">
      <c r="B16" s="13" t="inlineStr">
        <is>
          <t>TOTAL MONTHLY FEES</t>
        </is>
      </c>
      <c r="C16" s="14">
        <f>SUM(C5:C15)</f>
        <v/>
      </c>
      <c r="D16" s="15">
        <f>SUM(D5:D15)</f>
        <v/>
      </c>
    </row>
  </sheetData>
  <mergeCells count="2">
    <mergeCell ref="A2:H2"/>
    <mergeCell ref="A1:H1"/>
  </mergeCells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Bookkeeper Pricing &amp; Package Calculator</t>
        </is>
      </c>
    </row>
    <row r="3" ht="22" customHeight="1">
      <c r="A3" s="16" t="inlineStr">
        <is>
          <t>HOW TO USE</t>
        </is>
      </c>
    </row>
    <row r="4" ht="75" customHeight="1">
      <c r="A4" s="17" t="inlineStr">
        <is>
          <t>1. Open the 'Package Pricing' tab. For each package tier you offer (e.g. Starter, Growth, Pro / payroll add-on), fill in the six yellow input cells: tier name, how many current clients sit on that tier, average monthly hours per client, your target hourly rate, your total monthly business overhead (bookkeeping/accounting software subscriptions like QBO or Xero, E&amp;O insurance, other fixed costs), and your target profit margin. The blue cells recalculate automatically.</t>
        </is>
      </c>
    </row>
    <row r="5" ht="45" customHeight="1">
      <c r="A5" s="17" t="inlineStr">
        <is>
          <t>2. 'Overhead / Client' spreads your total monthly overhead evenly across the clients on that tier, so each package price actually covers its share of software and insurance costs — not just your labor.</t>
        </is>
      </c>
    </row>
    <row r="6" ht="30" customHeight="1">
      <c r="A6" s="17" t="inlineStr">
        <is>
          <t>3. Check 'Effective Hourly Rate' before you quote a new client. If it's lower than your target hourly rate, raise the package price, tighten the scope, or move the client to a higher tier.</t>
        </is>
      </c>
    </row>
    <row r="7" ht="60" customHeight="1">
      <c r="A7" s="17" t="inlineStr">
        <is>
          <t>4. Once a client is live, log them on the 'Client Profitability' tab: their package, monthly fee, and actual hours worked that month. 'Effective Hourly Rate' updates itself, and 'On Target?' flags anyone billing below your target rate — a fast way to catch scope creep before your next renewal.</t>
        </is>
      </c>
    </row>
    <row r="8" ht="45" customHeight="1">
      <c r="A8" s="17" t="inlineStr">
        <is>
          <t>5. Need more rows? Select a fully-formatted row (formulas included), right-click the row number, choose 'Insert Copied Cells' (Excel) or 'Insert row above/below then paste' (Sheets), and the formulas will carry down automatically.</t>
        </is>
      </c>
    </row>
    <row r="9" ht="10" customHeight="1"/>
    <row r="10" ht="22" customHeight="1">
      <c r="A10" s="16" t="inlineStr">
        <is>
          <t>A NOTE ON ADD-ONS</t>
        </is>
      </c>
    </row>
    <row r="11" ht="75" customHeight="1">
      <c r="A11" s="17" t="inlineStr">
        <is>
          <t>Payroll processing and one-time catch-up/cleanup work are usually priced separately from the recurring monthly package. The easiest approach: give each add-on its own row on the 'Package Pricing' tab (e.g. 'Payroll add-on (1-5 employees)' or 'Catch-up cleanup — one-time') with its own hours and overhead share, so it gets the same rigorous price-to-profit check as your core monthly packages.</t>
        </is>
      </c>
    </row>
    <row r="12" ht="10" customHeight="1"/>
    <row r="13" ht="22" customHeight="1">
      <c r="A13" s="16" t="inlineStr">
        <is>
          <t>GOOGLE SHEETS</t>
        </is>
      </c>
    </row>
    <row r="14" ht="105" customHeight="1">
      <c r="A14" s="17" t="inlineStr">
        <is>
          <t>Two ways to use this in Google Sheets:
  A) Open Google Sheets -&gt; File -&gt; Import -&gt; Upload -&gt; select this .xlsx file -&gt; 'Insert new sheet(s)'. All formulas and formatting carry over natively.
  B) If you were given the CSV set (google-sheets/ folder), import each CSV as its own tab and re-enter the formulas listed in SETUP.md — the formula key matches the 'How the formulas work' box on the Package Pricing tab.</t>
        </is>
      </c>
    </row>
    <row r="15" ht="10" customHeight="1"/>
    <row r="16" ht="22" customHeight="1">
      <c r="A16" s="16" t="inlineStr">
        <is>
          <t>EXCEL / NUMBERS</t>
        </is>
      </c>
    </row>
    <row r="17" ht="30" customHeight="1">
      <c r="A17" s="17" t="inlineStr">
        <is>
          <t>Just double-click the .xlsx file. It opens natively in Excel, LibreOffice Calc, and Apple Numbers with formulas intact.</t>
        </is>
      </c>
    </row>
    <row r="18" ht="10" customHeight="1"/>
    <row r="19" ht="22" customHeight="1">
      <c r="A19" s="16" t="inlineStr">
        <is>
          <t>COLOR KEY</t>
        </is>
      </c>
    </row>
    <row r="20" ht="15" customHeight="1">
      <c r="A20" s="17" t="inlineStr">
        <is>
          <t>Yellow cells = type your own numbers/text here.</t>
        </is>
      </c>
    </row>
    <row r="21" ht="15" customHeight="1">
      <c r="A21" s="17" t="inlineStr">
        <is>
          <t>Blue cells = formulas. Don't type over these — copy the row instead if you need more.</t>
        </is>
      </c>
    </row>
    <row r="22" ht="10" customHeight="1"/>
    <row r="23" ht="22" customHeight="1">
      <c r="A23" s="16" t="inlineStr">
        <is>
          <t>LICENSE</t>
        </is>
      </c>
    </row>
    <row r="24" ht="60" customHeight="1">
      <c r="A24" s="17" t="inlineStr">
        <is>
          <t>Single-user license. You may use this template for your own bookkeeping/accounting practice and for unlimited personal clients. You may NOT resell, redistribute, or repost this file (or a derivative of it) as your own template or product, in original or modified form, on marketplaces, in bundles, or for free. One purchase = one user/business.</t>
        </is>
      </c>
    </row>
    <row r="25" ht="10" customHeight="1"/>
    <row r="26" ht="22" customHeight="1">
      <c r="A26" s="16" t="inlineStr">
        <is>
          <t>QUESTIONS</t>
        </is>
      </c>
    </row>
    <row r="27" ht="45" customHeight="1">
      <c r="A27" s="17" t="inlineStr">
        <is>
          <t>This template is self-serve by design — the formula key and instructions above cover every column. If something still doesn't add up, re-check the yellow input cells first; the blue formula cells should never be edited directly.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2026-07-08T04:43:31Z</dcterms:created>
  <dcterms:modified xsi:type="dcterms:W3CDTF">2026-07-08T04:43:31Z</dcterms:modified>
</cp:coreProperties>
</file>