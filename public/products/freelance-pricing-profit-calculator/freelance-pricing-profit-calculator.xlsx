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 Calculator" sheetId="1" state="visible" r:id="rId1"/>
    <sheet name="Client Tracker" sheetId="2" state="visible" r:id="rId2"/>
    <sheet name="Read me - 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1F2937"/>
      <sz val="11"/>
    </font>
    <font>
      <b val="1"/>
      <sz val="10"/>
    </font>
    <font>
      <color rgb="00374151"/>
      <sz val="10"/>
    </font>
    <font>
      <b val="1"/>
    </font>
    <font>
      <b val="1"/>
      <color rgb="002563EB"/>
      <sz val="12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F9C3"/>
      </patternFill>
    </fill>
    <fill>
      <patternFill patternType="solid">
        <fgColor rgb="00DBEAFE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9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5" borderId="1" applyAlignment="1" pivotButton="0" quotePrefix="0" xfId="0">
      <alignment horizontal="right"/>
    </xf>
    <xf numFmtId="164" fontId="7" fillId="5" borderId="1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6" customWidth="1" min="3" max="3"/>
    <col width="15" customWidth="1" min="4" max="4"/>
    <col width="16" customWidth="1" min="5" max="5"/>
    <col width="13" customWidth="1" min="6" max="6"/>
    <col width="13" customWidth="1" min="7" max="7"/>
    <col width="16" customWidth="1" min="8" max="8"/>
    <col width="12" customWidth="1" min="9" max="9"/>
    <col width="16" customWidth="1" min="10" max="10"/>
  </cols>
  <sheetData>
    <row r="1" ht="28" customHeight="1">
      <c r="A1" s="1" t="inlineStr">
        <is>
          <t>Freelance Pricing &amp; Profit Calculator</t>
        </is>
      </c>
    </row>
    <row r="2" ht="30" customHeight="1">
      <c r="A2" s="2" t="inlineStr">
        <is>
          <t>Yellow cells = your inputs. Blue cells = live formulas — leave them alone and they recalculate automatically. Add new rows by copying row 8 (formulas included).</t>
        </is>
      </c>
    </row>
    <row r="4" ht="30" customHeight="1">
      <c r="A4" s="3" t="inlineStr">
        <is>
          <t>Project Name</t>
        </is>
      </c>
      <c r="B4" s="3" t="inlineStr">
        <is>
          <t>Estimated Hours</t>
        </is>
      </c>
      <c r="C4" s="3" t="inlineStr">
        <is>
          <t>Target Hourly Rate ($)</t>
        </is>
      </c>
      <c r="D4" s="3" t="inlineStr">
        <is>
          <t>Direct Expenses ($)</t>
        </is>
      </c>
      <c r="E4" s="3" t="inlineStr">
        <is>
          <t>Target Profit Margin (%)</t>
        </is>
      </c>
      <c r="F4" s="3" t="inlineStr">
        <is>
          <t>Labor Cost ($)</t>
        </is>
      </c>
      <c r="G4" s="3" t="inlineStr">
        <is>
          <t>Base Cost ($)</t>
        </is>
      </c>
      <c r="H4" s="3" t="inlineStr">
        <is>
          <t>Recommended Price ($)</t>
        </is>
      </c>
      <c r="I4" s="3" t="inlineStr">
        <is>
          <t>Profit ($)</t>
        </is>
      </c>
      <c r="J4" s="3" t="inlineStr">
        <is>
          <t>Real Profit / Hour ($)</t>
        </is>
      </c>
    </row>
    <row r="5" ht="22" customHeight="1">
      <c r="A5" s="4" t="inlineStr">
        <is>
          <t>Brand logo + guidelines</t>
        </is>
      </c>
      <c r="B5" s="5" t="n">
        <v>20</v>
      </c>
      <c r="C5" s="6" t="n">
        <v>75</v>
      </c>
      <c r="D5" s="6" t="n">
        <v>120</v>
      </c>
      <c r="E5" s="7" t="n">
        <v>0.25</v>
      </c>
      <c r="F5" s="8">
        <f>B5*C5</f>
        <v/>
      </c>
      <c r="G5" s="8">
        <f>F5+D5</f>
        <v/>
      </c>
      <c r="H5" s="8">
        <f>IF(E5&gt;=1,"margin must be &lt;100%",G5/(1-E5))</f>
        <v/>
      </c>
      <c r="I5" s="8">
        <f>H5-G5</f>
        <v/>
      </c>
      <c r="J5" s="8">
        <f>IF(B5=0,0,I5/B5)</f>
        <v/>
      </c>
    </row>
    <row r="6" ht="22" customHeight="1">
      <c r="A6" s="4" t="inlineStr">
        <is>
          <t>5-page marketing website</t>
        </is>
      </c>
      <c r="B6" s="5" t="n">
        <v>35</v>
      </c>
      <c r="C6" s="6" t="n">
        <v>65</v>
      </c>
      <c r="D6" s="6" t="n">
        <v>250</v>
      </c>
      <c r="E6" s="7" t="n">
        <v>0.3</v>
      </c>
      <c r="F6" s="8">
        <f>B6*C6</f>
        <v/>
      </c>
      <c r="G6" s="8">
        <f>F6+D6</f>
        <v/>
      </c>
      <c r="H6" s="8">
        <f>IF(E6&gt;=1,"margin must be &lt;100%",G6/(1-E6))</f>
        <v/>
      </c>
      <c r="I6" s="8">
        <f>H6-G6</f>
        <v/>
      </c>
      <c r="J6" s="8">
        <f>IF(B6=0,0,I6/B6)</f>
        <v/>
      </c>
    </row>
    <row r="7" ht="22" customHeight="1">
      <c r="A7" s="4" t="inlineStr">
        <is>
          <t>Monthly social media management (retainer)</t>
        </is>
      </c>
      <c r="B7" s="5" t="n">
        <v>15</v>
      </c>
      <c r="C7" s="6" t="n">
        <v>50</v>
      </c>
      <c r="D7" s="6" t="n">
        <v>0</v>
      </c>
      <c r="E7" s="7" t="n">
        <v>0.35</v>
      </c>
      <c r="F7" s="8">
        <f>B7*C7</f>
        <v/>
      </c>
      <c r="G7" s="8">
        <f>F7+D7</f>
        <v/>
      </c>
      <c r="H7" s="8">
        <f>IF(E7&gt;=1,"margin must be &lt;100%",G7/(1-E7))</f>
        <v/>
      </c>
      <c r="I7" s="8">
        <f>H7-G7</f>
        <v/>
      </c>
      <c r="J7" s="8">
        <f>IF(B7=0,0,I7/B7)</f>
        <v/>
      </c>
    </row>
    <row r="8" ht="22" customHeight="1">
      <c r="A8" s="4" t="n"/>
      <c r="B8" s="5" t="n"/>
      <c r="C8" s="6" t="n"/>
      <c r="D8" s="6" t="n"/>
      <c r="E8" s="7" t="n"/>
      <c r="F8" s="8">
        <f>B8*C8</f>
        <v/>
      </c>
      <c r="G8" s="8">
        <f>F8+D8</f>
        <v/>
      </c>
      <c r="H8" s="8">
        <f>IF(E8&gt;=1,"margin must be &lt;100%",IF(B8=0,0,G8/(1-E8)))</f>
        <v/>
      </c>
      <c r="I8" s="8">
        <f>IF(H8="",0,H8-G8)</f>
        <v/>
      </c>
      <c r="J8" s="8">
        <f>IF(B8=0,0,I8/B8)</f>
        <v/>
      </c>
    </row>
    <row r="9" ht="22" customHeight="1">
      <c r="A9" s="4" t="n"/>
      <c r="B9" s="5" t="n"/>
      <c r="C9" s="6" t="n"/>
      <c r="D9" s="6" t="n"/>
      <c r="E9" s="7" t="n"/>
      <c r="F9" s="8">
        <f>B9*C9</f>
        <v/>
      </c>
      <c r="G9" s="8">
        <f>F9+D9</f>
        <v/>
      </c>
      <c r="H9" s="8">
        <f>IF(E9&gt;=1,"margin must be &lt;100%",IF(B9=0,0,G9/(1-E9)))</f>
        <v/>
      </c>
      <c r="I9" s="8">
        <f>IF(H9="",0,H9-G9)</f>
        <v/>
      </c>
      <c r="J9" s="8">
        <f>IF(B9=0,0,I9/B9)</f>
        <v/>
      </c>
    </row>
    <row r="10" ht="22" customHeight="1">
      <c r="A10" s="4" t="n"/>
      <c r="B10" s="5" t="n"/>
      <c r="C10" s="6" t="n"/>
      <c r="D10" s="6" t="n"/>
      <c r="E10" s="7" t="n"/>
      <c r="F10" s="8">
        <f>B10*C10</f>
        <v/>
      </c>
      <c r="G10" s="8">
        <f>F10+D10</f>
        <v/>
      </c>
      <c r="H10" s="8">
        <f>IF(E10&gt;=1,"margin must be &lt;100%",IF(B10=0,0,G10/(1-E10)))</f>
        <v/>
      </c>
      <c r="I10" s="8">
        <f>IF(H10="",0,H10-G10)</f>
        <v/>
      </c>
      <c r="J10" s="8">
        <f>IF(B10=0,0,I10/B10)</f>
        <v/>
      </c>
    </row>
    <row r="11" ht="22" customHeight="1">
      <c r="A11" s="4" t="n"/>
      <c r="B11" s="5" t="n"/>
      <c r="C11" s="6" t="n"/>
      <c r="D11" s="6" t="n"/>
      <c r="E11" s="7" t="n"/>
      <c r="F11" s="8">
        <f>B11*C11</f>
        <v/>
      </c>
      <c r="G11" s="8">
        <f>F11+D11</f>
        <v/>
      </c>
      <c r="H11" s="8">
        <f>IF(E11&gt;=1,"margin must be &lt;100%",IF(B11=0,0,G11/(1-E11)))</f>
        <v/>
      </c>
      <c r="I11" s="8">
        <f>IF(H11="",0,H11-G11)</f>
        <v/>
      </c>
      <c r="J11" s="8">
        <f>IF(B11=0,0,I11/B11)</f>
        <v/>
      </c>
    </row>
    <row r="12" ht="22" customHeight="1">
      <c r="A12" s="4" t="n"/>
      <c r="B12" s="5" t="n"/>
      <c r="C12" s="6" t="n"/>
      <c r="D12" s="6" t="n"/>
      <c r="E12" s="7" t="n"/>
      <c r="F12" s="8">
        <f>B12*C12</f>
        <v/>
      </c>
      <c r="G12" s="8">
        <f>F12+D12</f>
        <v/>
      </c>
      <c r="H12" s="8">
        <f>IF(E12&gt;=1,"margin must be &lt;100%",IF(B12=0,0,G12/(1-E12)))</f>
        <v/>
      </c>
      <c r="I12" s="8">
        <f>IF(H12="",0,H12-G12)</f>
        <v/>
      </c>
      <c r="J12" s="8">
        <f>IF(B12=0,0,I12/B12)</f>
        <v/>
      </c>
    </row>
    <row r="13" ht="22" customHeight="1">
      <c r="A13" s="4" t="n"/>
      <c r="B13" s="5" t="n"/>
      <c r="C13" s="6" t="n"/>
      <c r="D13" s="6" t="n"/>
      <c r="E13" s="7" t="n"/>
      <c r="F13" s="8">
        <f>B13*C13</f>
        <v/>
      </c>
      <c r="G13" s="8">
        <f>F13+D13</f>
        <v/>
      </c>
      <c r="H13" s="8">
        <f>IF(E13&gt;=1,"margin must be &lt;100%",IF(B13=0,0,G13/(1-E13)))</f>
        <v/>
      </c>
      <c r="I13" s="8">
        <f>IF(H13="",0,H13-G13)</f>
        <v/>
      </c>
      <c r="J13" s="8">
        <f>IF(B13=0,0,I13/B13)</f>
        <v/>
      </c>
    </row>
    <row r="14" ht="22" customHeight="1">
      <c r="A14" s="4" t="n"/>
      <c r="B14" s="5" t="n"/>
      <c r="C14" s="6" t="n"/>
      <c r="D14" s="6" t="n"/>
      <c r="E14" s="7" t="n"/>
      <c r="F14" s="8">
        <f>B14*C14</f>
        <v/>
      </c>
      <c r="G14" s="8">
        <f>F14+D14</f>
        <v/>
      </c>
      <c r="H14" s="8">
        <f>IF(E14&gt;=1,"margin must be &lt;100%",IF(B14=0,0,G14/(1-E14)))</f>
        <v/>
      </c>
      <c r="I14" s="8">
        <f>IF(H14="",0,H14-G14)</f>
        <v/>
      </c>
      <c r="J14" s="8">
        <f>IF(B14=0,0,I14/B14)</f>
        <v/>
      </c>
    </row>
    <row r="17">
      <c r="A17" s="9" t="inlineStr">
        <is>
          <t>How the formulas work</t>
        </is>
      </c>
    </row>
    <row r="18">
      <c r="A18" s="10" t="inlineStr">
        <is>
          <t>Labor Cost</t>
        </is>
      </c>
      <c r="B18" s="11">
        <f> Estimated Hours × Target Hourly Rate</f>
        <v/>
      </c>
    </row>
    <row r="19">
      <c r="A19" s="10" t="inlineStr">
        <is>
          <t>Base Cost</t>
        </is>
      </c>
      <c r="B19" s="11">
        <f> Labor Cost + Direct Expenses</f>
        <v/>
      </c>
    </row>
    <row r="20">
      <c r="A20" s="10" t="inlineStr">
        <is>
          <t>Recommended Price</t>
        </is>
      </c>
      <c r="B20" s="11">
        <f> Base Cost ÷ (1 − Target Profit Margin %)</f>
        <v/>
      </c>
    </row>
    <row r="21">
      <c r="A21" s="10" t="inlineStr">
        <is>
          <t>Profit</t>
        </is>
      </c>
      <c r="B21" s="11">
        <f> Recommended Price − Base Cost</f>
        <v/>
      </c>
    </row>
    <row r="22">
      <c r="A22" s="10" t="inlineStr">
        <is>
          <t>Real Profit / Hour</t>
        </is>
      </c>
      <c r="B22" s="11">
        <f> Profit ÷ Estimated Hours  (your true hourly take, after expenses &amp; margin)</f>
        <v/>
      </c>
    </row>
  </sheetData>
  <mergeCells count="7">
    <mergeCell ref="B21:F21"/>
    <mergeCell ref="A1:J1"/>
    <mergeCell ref="B20:F20"/>
    <mergeCell ref="B19:F19"/>
    <mergeCell ref="B22:F22"/>
    <mergeCell ref="A2:J2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4" customWidth="1" min="3" max="3"/>
    <col width="14" customWidth="1" min="4" max="4"/>
    <col width="12" customWidth="1" min="5" max="5"/>
    <col width="14" customWidth="1" min="6" max="6"/>
    <col width="30" customWidth="1" min="7" max="7"/>
  </cols>
  <sheetData>
    <row r="1" ht="28" customHeight="1">
      <c r="A1" s="1" t="inlineStr">
        <is>
          <t>Client Tracker</t>
        </is>
      </c>
    </row>
    <row r="2" ht="30" customHeight="1">
      <c r="A2" s="2" t="inlineStr">
        <is>
          <t>Yellow cells = your inputs. Balance is a live formula (Invoiced − Paid). Status has a dropdown — click any Status cell to pick a value.</t>
        </is>
      </c>
    </row>
    <row r="4" ht="30" customHeight="1">
      <c r="A4" s="3" t="inlineStr">
        <is>
          <t>Client</t>
        </is>
      </c>
      <c r="B4" s="3" t="inlineStr">
        <is>
          <t>Project</t>
        </is>
      </c>
      <c r="C4" s="3" t="inlineStr">
        <is>
          <t>Status</t>
        </is>
      </c>
      <c r="D4" s="3" t="inlineStr">
        <is>
          <t>Invoiced ($)</t>
        </is>
      </c>
      <c r="E4" s="3" t="inlineStr">
        <is>
          <t>Paid ($)</t>
        </is>
      </c>
      <c r="F4" s="3" t="inlineStr">
        <is>
          <t>Balance ($)</t>
        </is>
      </c>
      <c r="G4" s="3" t="inlineStr">
        <is>
          <t>Next Action</t>
        </is>
      </c>
    </row>
    <row r="5" ht="24" customHeight="1">
      <c r="A5" s="4" t="inlineStr">
        <is>
          <t>Example Co</t>
        </is>
      </c>
      <c r="B5" s="4" t="inlineStr">
        <is>
          <t>Brand logo + guidelines</t>
        </is>
      </c>
      <c r="C5" s="5" t="inlineStr">
        <is>
          <t>In progress</t>
        </is>
      </c>
      <c r="D5" s="6" t="n">
        <v>2160</v>
      </c>
      <c r="E5" s="6" t="n">
        <v>0</v>
      </c>
      <c r="F5" s="8">
        <f>D5-E5</f>
        <v/>
      </c>
      <c r="G5" s="4" t="inlineStr">
        <is>
          <t>Send 50% deposit invoice</t>
        </is>
      </c>
    </row>
    <row r="6" ht="24" customHeight="1">
      <c r="A6" s="4" t="inlineStr">
        <is>
          <t>Riverside Dental</t>
        </is>
      </c>
      <c r="B6" s="4" t="inlineStr">
        <is>
          <t>5-page marketing website</t>
        </is>
      </c>
      <c r="C6" s="5" t="inlineStr">
        <is>
          <t>Invoiced</t>
        </is>
      </c>
      <c r="D6" s="6" t="n">
        <v>3120</v>
      </c>
      <c r="E6" s="6" t="n">
        <v>1560</v>
      </c>
      <c r="F6" s="8">
        <f>D6-E6</f>
        <v/>
      </c>
      <c r="G6" s="4" t="inlineStr">
        <is>
          <t>Follow up on remaining balance</t>
        </is>
      </c>
    </row>
    <row r="7" ht="24" customHeight="1">
      <c r="A7" s="4" t="inlineStr">
        <is>
          <t>Nora Kim (personal brand)</t>
        </is>
      </c>
      <c r="B7" s="4" t="inlineStr">
        <is>
          <t>Monthly social management — July</t>
        </is>
      </c>
      <c r="C7" s="5" t="inlineStr">
        <is>
          <t>Paid</t>
        </is>
      </c>
      <c r="D7" s="6" t="n">
        <v>750</v>
      </c>
      <c r="E7" s="6" t="n">
        <v>750</v>
      </c>
      <c r="F7" s="8">
        <f>D7-E7</f>
        <v/>
      </c>
      <c r="G7" s="4" t="inlineStr">
        <is>
          <t>None — send August scope</t>
        </is>
      </c>
    </row>
    <row r="8" ht="24" customHeight="1">
      <c r="A8" s="4" t="inlineStr">
        <is>
          <t>Blume Coffee Co</t>
        </is>
      </c>
      <c r="B8" s="4" t="inlineStr">
        <is>
          <t>Product photography day</t>
        </is>
      </c>
      <c r="C8" s="5" t="inlineStr">
        <is>
          <t>Not started</t>
        </is>
      </c>
      <c r="D8" s="6" t="n">
        <v>0</v>
      </c>
      <c r="E8" s="6" t="n">
        <v>0</v>
      </c>
      <c r="F8" s="8">
        <f>D8-E8</f>
        <v/>
      </c>
      <c r="G8" s="4" t="inlineStr">
        <is>
          <t>Confirm shoot date</t>
        </is>
      </c>
    </row>
    <row r="9" ht="24" customHeight="1">
      <c r="A9" s="4" t="inlineStr"/>
      <c r="B9" s="4" t="inlineStr"/>
      <c r="C9" s="5" t="inlineStr"/>
      <c r="D9" s="6" t="n">
        <v>0</v>
      </c>
      <c r="E9" s="6" t="n">
        <v>0</v>
      </c>
      <c r="F9" s="8">
        <f>D9-E9</f>
        <v/>
      </c>
      <c r="G9" s="4" t="inlineStr"/>
    </row>
    <row r="10" ht="24" customHeight="1">
      <c r="A10" s="4" t="inlineStr"/>
      <c r="B10" s="4" t="inlineStr"/>
      <c r="C10" s="5" t="inlineStr"/>
      <c r="D10" s="6" t="n">
        <v>0</v>
      </c>
      <c r="E10" s="6" t="n">
        <v>0</v>
      </c>
      <c r="F10" s="8">
        <f>D10-E10</f>
        <v/>
      </c>
      <c r="G10" s="4" t="inlineStr"/>
    </row>
    <row r="11" ht="24" customHeight="1">
      <c r="A11" s="4" t="inlineStr"/>
      <c r="B11" s="4" t="inlineStr"/>
      <c r="C11" s="5" t="inlineStr"/>
      <c r="D11" s="6" t="n">
        <v>0</v>
      </c>
      <c r="E11" s="6" t="n">
        <v>0</v>
      </c>
      <c r="F11" s="8">
        <f>D11-E11</f>
        <v/>
      </c>
      <c r="G11" s="4" t="inlineStr"/>
    </row>
    <row r="12" ht="24" customHeight="1">
      <c r="A12" s="4" t="inlineStr"/>
      <c r="B12" s="4" t="inlineStr"/>
      <c r="C12" s="5" t="inlineStr"/>
      <c r="D12" s="6" t="n">
        <v>0</v>
      </c>
      <c r="E12" s="6" t="n">
        <v>0</v>
      </c>
      <c r="F12" s="8">
        <f>D12-E12</f>
        <v/>
      </c>
      <c r="G12" s="4" t="inlineStr"/>
    </row>
    <row r="13" ht="24" customHeight="1">
      <c r="A13" s="4" t="inlineStr"/>
      <c r="B13" s="4" t="inlineStr"/>
      <c r="C13" s="5" t="inlineStr"/>
      <c r="D13" s="6" t="n">
        <v>0</v>
      </c>
      <c r="E13" s="6" t="n">
        <v>0</v>
      </c>
      <c r="F13" s="8">
        <f>D13-E13</f>
        <v/>
      </c>
      <c r="G13" s="4" t="inlineStr"/>
    </row>
    <row r="14" ht="24" customHeight="1">
      <c r="A14" s="4" t="inlineStr"/>
      <c r="B14" s="4" t="inlineStr"/>
      <c r="C14" s="5" t="inlineStr"/>
      <c r="D14" s="6" t="n">
        <v>0</v>
      </c>
      <c r="E14" s="6" t="n">
        <v>0</v>
      </c>
      <c r="F14" s="8">
        <f>D14-E14</f>
        <v/>
      </c>
      <c r="G14" s="4" t="inlineStr"/>
    </row>
    <row r="15" ht="24" customHeight="1">
      <c r="A15" s="4" t="inlineStr"/>
      <c r="B15" s="4" t="inlineStr"/>
      <c r="C15" s="5" t="inlineStr"/>
      <c r="D15" s="6" t="n">
        <v>0</v>
      </c>
      <c r="E15" s="6" t="n">
        <v>0</v>
      </c>
      <c r="F15" s="8">
        <f>D15-E15</f>
        <v/>
      </c>
      <c r="G15" s="4" t="inlineStr"/>
    </row>
    <row r="16" ht="24" customHeight="1">
      <c r="A16" s="4" t="inlineStr"/>
      <c r="B16" s="4" t="inlineStr"/>
      <c r="C16" s="5" t="inlineStr"/>
      <c r="D16" s="6" t="n">
        <v>0</v>
      </c>
      <c r="E16" s="6" t="n">
        <v>0</v>
      </c>
      <c r="F16" s="8">
        <f>D16-E16</f>
        <v/>
      </c>
      <c r="G16" s="4" t="inlineStr"/>
    </row>
    <row r="17">
      <c r="C17" s="12" t="inlineStr">
        <is>
          <t>TOTAL</t>
        </is>
      </c>
      <c r="D17" s="13">
        <f>SUM(D5:D16)</f>
        <v/>
      </c>
      <c r="E17" s="13">
        <f>SUM(E5:E16)</f>
        <v/>
      </c>
      <c r="F17" s="13">
        <f>SUM(F5:F16)</f>
        <v/>
      </c>
    </row>
  </sheetData>
  <mergeCells count="2">
    <mergeCell ref="A2:G2"/>
    <mergeCell ref="A1:G1"/>
  </mergeCells>
  <dataValidations count="1">
    <dataValidation sqref="C5 C6 C7 C8 C9 C10 C11 C12 C13 C14 C15 C16" showDropDown="0" showInputMessage="0" showErrorMessage="0" allowBlank="1" type="list">
      <formula1>"Not started,Scoping,In progress,Invoiced,Paid,Overdue"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95" customWidth="1" min="1" max="1"/>
  </cols>
  <sheetData>
    <row r="1" ht="32" customHeight="1">
      <c r="A1" s="1" t="inlineStr">
        <is>
          <t>Freelance Pricing &amp; Profit Calculator + Client Tracker</t>
        </is>
      </c>
    </row>
    <row r="3" ht="22" customHeight="1">
      <c r="A3" s="14" t="inlineStr">
        <is>
          <t>HOW TO USE</t>
        </is>
      </c>
    </row>
    <row r="4" ht="45" customHeight="1">
      <c r="A4" s="15" t="inlineStr">
        <is>
          <t>1. Open the 'Pricing Calculator' tab. For each project, fill in the five yellow input cells: project name, estimated hours, your target hourly rate, direct expenses (software, stock assets, subcontractors), and your target profit margin. The blue cells recalculate automatically.</t>
        </is>
      </c>
    </row>
    <row r="5" ht="30" customHeight="1">
      <c r="A5" s="15" t="inlineStr">
        <is>
          <t>2. Look at 'Real Profit / Hour' before you send the quote. If it's lower than your target rate, raise the price or the margin — don't just hope the project runs fast.</t>
        </is>
      </c>
    </row>
    <row r="6" ht="30" customHeight="1">
      <c r="A6" s="15" t="inlineStr">
        <is>
          <t>3. Once you win the work, log the client and project on the 'Client Tracker' tab. Update Status from the dropdown and fill in Invoiced / Paid as money moves — Balance updates itself.</t>
        </is>
      </c>
    </row>
    <row r="7" ht="45" customHeight="1">
      <c r="A7" s="15" t="inlineStr">
        <is>
          <t>4. Need more rows? Select a fully-formatted row (formulas included), right-click the row number, choose 'Insert Copied Cells' (Excel) or 'Insert row above/below then paste' (Sheets), and the formulas will carry down automatically.</t>
        </is>
      </c>
    </row>
    <row r="8" ht="10" customHeight="1"/>
    <row r="9" ht="22" customHeight="1">
      <c r="A9" s="14" t="inlineStr">
        <is>
          <t>GOOGLE SHEETS</t>
        </is>
      </c>
    </row>
    <row r="10" ht="105" customHeight="1">
      <c r="A10" s="15" t="inlineStr">
        <is>
          <t>Two ways to use this in Google Sheets:
  A) Open Google Sheets -&gt; File -&gt; Import -&gt; Upload -&gt; select this .xlsx file -&gt; 'Insert new sheet(s)'. All formulas and formatting carry over natively.
  B) If you were given the CSV set (google-sheets/ folder), import each CSV as its own tab and re-enter the formulas listed in SETUP.md — the formula key matches the 'How the formulas work' box on the Pricing Calculator tab.</t>
        </is>
      </c>
    </row>
    <row r="11" ht="10" customHeight="1"/>
    <row r="12" ht="22" customHeight="1">
      <c r="A12" s="14" t="inlineStr">
        <is>
          <t>EXCEL / NUMBERS</t>
        </is>
      </c>
    </row>
    <row r="13" ht="30" customHeight="1">
      <c r="A13" s="15" t="inlineStr">
        <is>
          <t>Just double-click the .xlsx file. It opens natively in Excel, LibreOffice Calc, and Apple Numbers with formulas intact.</t>
        </is>
      </c>
    </row>
    <row r="14" ht="10" customHeight="1"/>
    <row r="15" ht="22" customHeight="1">
      <c r="A15" s="14" t="inlineStr">
        <is>
          <t>COLOR KEY</t>
        </is>
      </c>
    </row>
    <row r="16" ht="15" customHeight="1">
      <c r="A16" s="15" t="inlineStr">
        <is>
          <t>Yellow cells = type your own numbers/text here.</t>
        </is>
      </c>
    </row>
    <row r="17" ht="15" customHeight="1">
      <c r="A17" s="15" t="inlineStr">
        <is>
          <t>Blue cells = formulas. Don't type over these — copy the row instead if you need more.</t>
        </is>
      </c>
    </row>
    <row r="18" ht="10" customHeight="1"/>
    <row r="19" ht="22" customHeight="1">
      <c r="A19" s="14" t="inlineStr">
        <is>
          <t>LICENSE</t>
        </is>
      </c>
    </row>
    <row r="20" ht="60" customHeight="1">
      <c r="A20" s="15" t="inlineStr">
        <is>
          <t>Single-user license. You may use this template for your own freelance business and for unlimited personal projects/clients. You may NOT resell, redistribute, or repost this file (or a derivative of it) as your own template or product, in original or modified form, on marketplaces, in bundles, or for free. One purchase = one user/business.</t>
        </is>
      </c>
    </row>
    <row r="21" ht="10" customHeight="1"/>
    <row r="22" ht="22" customHeight="1">
      <c r="A22" s="14" t="inlineStr">
        <is>
          <t>QUESTIONS</t>
        </is>
      </c>
    </row>
    <row r="23" ht="45" customHeight="1">
      <c r="A23" s="15" t="inlineStr">
        <is>
          <t>This template is self-serve by design — the formula key and instructions above cover every column. If something still doesn't add up, re-check the yellow input cells first; the blue formula cells should never be edited directly.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2026-07-08T04:32:33Z</dcterms:created>
  <dcterms:modified xsi:type="dcterms:W3CDTF">2026-07-08T04:32:33Z</dcterms:modified>
</cp:coreProperties>
</file>